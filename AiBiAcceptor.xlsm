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84" windowWidth="20100" windowHeight="9204"/>
  </bookViews>
  <sheets>
    <sheet name="Sheet1" sheetId="1" r:id="rId1"/>
    <sheet name="Sheet2" sheetId="2" r:id="rId2"/>
    <sheet name="Sheet3" sheetId="3" r:id="rId3"/>
  </sheets>
  <definedNames>
    <definedName name="Age">Sheet1!$B$1</definedName>
    <definedName name="Cotrol">Sheet1!$I$3:$J$5</definedName>
    <definedName name="Direction">Sheet1!$B$10</definedName>
    <definedName name="Head">Sheet1!$B$7</definedName>
    <definedName name="Head_control">Sheet1!$J$12</definedName>
    <definedName name="Read">Sheet1!$B$8</definedName>
    <definedName name="State">Sheet1!$B$11</definedName>
    <definedName name="state_table">Sheet1!$B$31:$F$35</definedName>
    <definedName name="Tape">Sheet1!$B$16:$S$16</definedName>
    <definedName name="test">Sheet1!$F$9</definedName>
    <definedName name="transition_table">Sheet1!$A$37:$C$45</definedName>
    <definedName name="Write">Sheet1!$B$9</definedName>
  </definedNames>
  <calcPr calcId="145621" iterate="1" iterateCount="1"/>
</workbook>
</file>

<file path=xl/calcChain.xml><?xml version="1.0" encoding="utf-8"?>
<calcChain xmlns="http://schemas.openxmlformats.org/spreadsheetml/2006/main">
  <c r="I32" i="1" l="1"/>
  <c r="I31" i="1"/>
  <c r="I33" i="1"/>
  <c r="I34" i="1"/>
  <c r="G1" i="1" l="1"/>
  <c r="F1" i="1"/>
  <c r="E1" i="1"/>
  <c r="D1" i="1"/>
  <c r="C1" i="1"/>
  <c r="B11" i="1"/>
  <c r="M11" i="1" s="1"/>
  <c r="A13" i="1"/>
  <c r="B7" i="1" s="1"/>
  <c r="B8" i="1" s="1"/>
  <c r="B16" i="1"/>
  <c r="C16" i="1"/>
  <c r="D16" i="1"/>
  <c r="E16" i="1"/>
  <c r="F16" i="1"/>
  <c r="G16" i="1"/>
  <c r="H16" i="1"/>
  <c r="I16" i="1"/>
  <c r="J16" i="1"/>
  <c r="K16" i="1"/>
  <c r="L16" i="1"/>
  <c r="M16" i="1"/>
  <c r="N16" i="1"/>
  <c r="O16" i="1"/>
  <c r="P16" i="1"/>
  <c r="Q16" i="1"/>
  <c r="R16" i="1"/>
  <c r="S16" i="1"/>
  <c r="B10" i="1"/>
  <c r="B9" i="1"/>
  <c r="M10" i="1" l="1"/>
  <c r="J12" i="1"/>
  <c r="P15" i="1"/>
  <c r="L15" i="1"/>
  <c r="H15" i="1"/>
  <c r="D15" i="1"/>
  <c r="S15" i="1"/>
  <c r="O15" i="1"/>
  <c r="K15" i="1"/>
  <c r="G15" i="1"/>
  <c r="C15" i="1"/>
  <c r="Q15" i="1"/>
  <c r="M15" i="1"/>
  <c r="I15" i="1"/>
  <c r="E15" i="1"/>
  <c r="R15" i="1"/>
  <c r="N15" i="1"/>
  <c r="J15" i="1"/>
  <c r="F15" i="1"/>
  <c r="B15" i="1"/>
  <c r="G8" i="1"/>
  <c r="G10" i="1"/>
</calcChain>
</file>

<file path=xl/sharedStrings.xml><?xml version="1.0" encoding="utf-8"?>
<sst xmlns="http://schemas.openxmlformats.org/spreadsheetml/2006/main" count="94" uniqueCount="48">
  <si>
    <t>Age:</t>
  </si>
  <si>
    <t>Control:</t>
  </si>
  <si>
    <t>restart</t>
  </si>
  <si>
    <t>stop</t>
  </si>
  <si>
    <t>go</t>
  </si>
  <si>
    <t>Head:</t>
  </si>
  <si>
    <t>Tape:</t>
  </si>
  <si>
    <t>Head ind.</t>
  </si>
  <si>
    <t>Index</t>
  </si>
  <si>
    <t>Read:</t>
  </si>
  <si>
    <t>Write:</t>
  </si>
  <si>
    <t>TODO: create a subroutine for copying a string from one cell to the tape.</t>
  </si>
  <si>
    <t>TODO: create a way to read a machine from the tape, then run the machine</t>
  </si>
  <si>
    <r>
      <t>δ(q,</t>
    </r>
    <r>
      <rPr>
        <sz val="11"/>
        <color rgb="FF000000"/>
        <rFont val="Calibri"/>
        <family val="2"/>
        <scheme val="minor"/>
      </rPr>
      <t xml:space="preserve"> </t>
    </r>
    <r>
      <rPr>
        <i/>
        <sz val="11"/>
        <color rgb="FF000000"/>
        <rFont val="Calibri"/>
        <family val="2"/>
        <scheme val="minor"/>
      </rPr>
      <t>x</t>
    </r>
    <r>
      <rPr>
        <sz val="11"/>
        <color rgb="FF000000"/>
        <rFont val="Calibri"/>
        <family val="2"/>
        <scheme val="minor"/>
      </rPr>
      <t>)</t>
    </r>
    <r>
      <rPr>
        <i/>
        <sz val="11"/>
        <color rgb="FF000000"/>
        <rFont val="Calibri"/>
        <family val="2"/>
        <scheme val="minor"/>
      </rPr>
      <t xml:space="preserve"> </t>
    </r>
  </si>
  <si>
    <t>a</t>
  </si>
  <si>
    <t>b</t>
  </si>
  <si>
    <t>state 1</t>
  </si>
  <si>
    <t>state 2</t>
  </si>
  <si>
    <t>state 3</t>
  </si>
  <si>
    <t>q'</t>
  </si>
  <si>
    <t>x'</t>
  </si>
  <si>
    <t>{L,R}</t>
  </si>
  <si>
    <t>R</t>
  </si>
  <si>
    <t>A37:C37</t>
  </si>
  <si>
    <t>A38:C38</t>
  </si>
  <si>
    <t>A39:C39</t>
  </si>
  <si>
    <t>L</t>
  </si>
  <si>
    <t>A40:C40</t>
  </si>
  <si>
    <t>#</t>
  </si>
  <si>
    <t>A41:C41</t>
  </si>
  <si>
    <t>A42:C42</t>
  </si>
  <si>
    <t>A43:C43</t>
  </si>
  <si>
    <t>A44:C44</t>
  </si>
  <si>
    <t>ACCEPT</t>
  </si>
  <si>
    <t>State:</t>
  </si>
  <si>
    <t>A45:C45</t>
  </si>
  <si>
    <t>IF(State=0,1,INDEX(INDIRECT(HLOOKUP(Read,state_table,State+1, FALSE)), 1, 1))</t>
  </si>
  <si>
    <t>INDEX(INDIRECT(HLOOKUP(Read,state_table,State+1, FALSE)), 1, 2)</t>
  </si>
  <si>
    <t>Direction:</t>
  </si>
  <si>
    <t>Head Control:</t>
  </si>
  <si>
    <t>INDEX(Tape, 1, Head+1)</t>
  </si>
  <si>
    <t>input tape:</t>
  </si>
  <si>
    <t>C</t>
  </si>
  <si>
    <t>D</t>
  </si>
  <si>
    <t>table width</t>
  </si>
  <si>
    <t>table height</t>
  </si>
  <si>
    <t>table row1</t>
  </si>
  <si>
    <t>table col1</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</si>
</sst>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i/>
      <sz val="11"/>
      <color rgb="FF000000"/>
      <name val="Calibri"/>
      <family val="2"/>
      <scheme val="minor"/>
    </font>
    <font>
      <sz val="11"/>
      <color rgb="FF000000"/>
      <name val="Calibri"/>
      <family val="2"/>
      <scheme val="minor"/>
    </font>
    <font>
      <i/>
      <sz val="11"/>
      <color theme="1"/>
      <name val="Calibri"/>
      <family val="2"/>
      <scheme val="minor"/>
    </font>
    <font>
      <sz val="11"/>
      <name val="Calibri"/>
      <family val="2"/>
      <scheme val="minor"/>
    </font>
    <font>
      <sz val="11"/>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rgb="FF92D050"/>
        <bgColor indexed="64"/>
      </patternFill>
    </fill>
    <fill>
      <patternFill patternType="solid">
        <fgColor rgb="FFCC0000"/>
        <bgColor indexed="64"/>
      </patternFill>
    </fill>
  </fills>
  <borders count="1">
    <border>
      <left/>
      <right/>
      <top/>
      <bottom/>
      <diagonal/>
    </border>
  </borders>
  <cellStyleXfs count="4">
    <xf numFmtId="0" fontId="0" fillId="0" borderId="0"/>
    <xf numFmtId="0" fontId="5" fillId="2" borderId="0"/>
    <xf numFmtId="0" fontId="4" fillId="3" borderId="0"/>
    <xf numFmtId="0" fontId="5" fillId="4" borderId="0" applyFont="0"/>
  </cellStyleXfs>
  <cellXfs count="14">
    <xf numFmtId="0" fontId="0" fillId="0" borderId="0" xfId="0"/>
    <xf numFmtId="0" fontId="0" fillId="2" borderId="0" xfId="0" applyFill="1"/>
    <xf numFmtId="0" fontId="0" fillId="0" borderId="0" xfId="0" applyAlignment="1">
      <alignment vertical="top" wrapText="1"/>
    </xf>
    <xf numFmtId="0" fontId="0" fillId="0" borderId="0" xfId="0" applyAlignment="1">
      <alignment wrapText="1"/>
    </xf>
    <xf numFmtId="0" fontId="1" fillId="0" borderId="0" xfId="0" applyFont="1"/>
    <xf numFmtId="0" fontId="3" fillId="0" borderId="0" xfId="0" applyFont="1" applyAlignment="1">
      <alignment horizontal="center"/>
    </xf>
    <xf numFmtId="0" fontId="0" fillId="0" borderId="0" xfId="0" applyAlignment="1">
      <alignment horizontal="center"/>
    </xf>
    <xf numFmtId="0" fontId="4" fillId="3" borderId="0" xfId="0" applyFont="1" applyFill="1"/>
    <xf numFmtId="0" fontId="0" fillId="3" borderId="0" xfId="0" applyFill="1"/>
    <xf numFmtId="0" fontId="0" fillId="0" borderId="0" xfId="0" applyAlignment="1">
      <alignment horizontal="left" vertical="top" wrapText="1"/>
    </xf>
    <xf numFmtId="0" fontId="5" fillId="2" borderId="0" xfId="1"/>
    <xf numFmtId="0" fontId="0" fillId="4" borderId="0" xfId="0" applyFill="1"/>
    <xf numFmtId="0" fontId="4" fillId="4" borderId="0" xfId="0" applyFont="1" applyFill="1"/>
    <xf numFmtId="0" fontId="0" fillId="0" borderId="0" xfId="0" applyFill="1"/>
  </cellXfs>
  <cellStyles count="4">
    <cellStyle name="Accept" xfId="2"/>
    <cellStyle name="Normal" xfId="0" builtinId="0"/>
    <cellStyle name="PlaneTape" xfId="1"/>
    <cellStyle name="Reject" xfId="3"/>
  </cellStyles>
  <dxfs count="16">
    <dxf>
      <fill>
        <patternFill>
          <bgColor rgb="FF92D050"/>
        </patternFill>
      </fill>
    </dxf>
    <dxf>
      <fill>
        <patternFill>
          <bgColor rgb="FFC00000"/>
        </patternFill>
      </fill>
    </dxf>
    <dxf>
      <fill>
        <patternFill>
          <bgColor rgb="FF92D050"/>
        </patternFill>
      </fill>
    </dxf>
    <dxf>
      <fill>
        <patternFill>
          <bgColor rgb="FFC00000"/>
        </patternFill>
      </fill>
    </dxf>
    <dxf>
      <fill>
        <patternFill>
          <bgColor rgb="FFC00000"/>
        </patternFill>
      </fill>
    </dxf>
    <dxf>
      <fill>
        <patternFill>
          <bgColor rgb="FF92D050"/>
        </patternFill>
      </fill>
    </dxf>
    <dxf>
      <fill>
        <patternFill>
          <bgColor rgb="FF92D050"/>
        </patternFill>
      </fill>
    </dxf>
    <dxf>
      <fill>
        <patternFill>
          <bgColor rgb="FFC00000"/>
        </patternFill>
      </fill>
    </dxf>
    <dxf>
      <fill>
        <patternFill>
          <bgColor rgb="FF92D050"/>
        </patternFill>
      </fill>
    </dxf>
    <dxf>
      <fill>
        <patternFill>
          <bgColor rgb="FFC00000"/>
        </patternFill>
      </fill>
    </dxf>
    <dxf>
      <fill>
        <patternFill>
          <bgColor rgb="FF92D050"/>
        </patternFill>
      </fill>
    </dxf>
    <dxf>
      <fill>
        <patternFill>
          <bgColor rgb="FFC00000"/>
        </patternFill>
      </fill>
    </dxf>
    <dxf>
      <fill>
        <patternFill>
          <bgColor rgb="FFC00000"/>
        </patternFill>
      </fill>
    </dxf>
    <dxf>
      <fill>
        <patternFill>
          <bgColor rgb="FFC00000"/>
        </patternFill>
      </fill>
    </dxf>
    <dxf>
      <fill>
        <patternFill>
          <fgColor rgb="FF92D050"/>
        </patternFill>
      </fill>
    </dxf>
    <dxf>
      <fill>
        <patternFill>
          <fgColor rgb="FF92D050"/>
        </patternFill>
      </fill>
    </dxf>
  </dxfs>
  <tableStyles count="0" defaultTableStyle="TableStyleMedium2" defaultPivotStyle="PivotStyleLight16"/>
  <colors>
    <mruColors>
      <color rgb="FFCC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53340</xdr:colOff>
      <xdr:row>16</xdr:row>
      <xdr:rowOff>129540</xdr:rowOff>
    </xdr:from>
    <xdr:to>
      <xdr:col>9</xdr:col>
      <xdr:colOff>68580</xdr:colOff>
      <xdr:row>29</xdr:row>
      <xdr:rowOff>83820</xdr:rowOff>
    </xdr:to>
    <xdr:sp macro="" textlink="">
      <xdr:nvSpPr>
        <xdr:cNvPr id="2" name="TextBox 1"/>
        <xdr:cNvSpPr txBox="1"/>
      </xdr:nvSpPr>
      <xdr:spPr>
        <a:xfrm>
          <a:off x="53340" y="3055620"/>
          <a:ext cx="5501640" cy="2362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 Turing machine is a 7-tuple: &lt;</a:t>
          </a:r>
          <a:r>
            <a:rPr lang="en-US" sz="1100" b="1" i="1"/>
            <a:t>Q</a:t>
          </a:r>
          <a:r>
            <a:rPr lang="en-US" sz="1100"/>
            <a:t>, </a:t>
          </a:r>
          <a:r>
            <a:rPr lang="el-GR" sz="1100" b="1"/>
            <a:t>Γ</a:t>
          </a:r>
          <a:r>
            <a:rPr lang="en-US" sz="1100"/>
            <a:t>, </a:t>
          </a:r>
          <a:r>
            <a:rPr lang="en-US" sz="1100" i="1"/>
            <a:t>b</a:t>
          </a:r>
          <a:r>
            <a:rPr lang="en-US" sz="1100"/>
            <a:t>, </a:t>
          </a:r>
          <a:r>
            <a:rPr lang="el-GR" sz="1100" b="1"/>
            <a:t>Σ</a:t>
          </a:r>
          <a:r>
            <a:rPr lang="en-US" sz="1100"/>
            <a:t>, </a:t>
          </a:r>
          <a:r>
            <a:rPr lang="el-GR" sz="1100" i="1"/>
            <a:t>δ</a:t>
          </a:r>
          <a:r>
            <a:rPr lang="en-US" sz="1100"/>
            <a:t>, </a:t>
          </a:r>
          <a:r>
            <a:rPr lang="en-US" sz="1100" b="0" i="1"/>
            <a:t>q</a:t>
          </a:r>
          <a:r>
            <a:rPr lang="en-US" sz="1100" b="0" baseline="-25000"/>
            <a:t>0</a:t>
          </a:r>
          <a:r>
            <a:rPr lang="en-US" sz="1100"/>
            <a:t>, </a:t>
          </a:r>
          <a:r>
            <a:rPr lang="en-US" sz="1100" b="1" i="1"/>
            <a:t>F</a:t>
          </a:r>
          <a:r>
            <a:rPr lang="en-US" sz="1100"/>
            <a:t>&gt;</a:t>
          </a:r>
          <a:r>
            <a:rPr lang="en-US" sz="1100" baseline="0"/>
            <a:t> </a:t>
          </a:r>
        </a:p>
        <a:p>
          <a:r>
            <a:rPr lang="en-US" sz="1100" b="1" i="1">
              <a:solidFill>
                <a:schemeClr val="dk1"/>
              </a:solidFill>
              <a:effectLst/>
              <a:latin typeface="+mn-lt"/>
              <a:ea typeface="+mn-ea"/>
              <a:cs typeface="+mn-cs"/>
            </a:rPr>
            <a:t>Q</a:t>
          </a:r>
          <a:r>
            <a:rPr lang="en-US" sz="1100">
              <a:solidFill>
                <a:schemeClr val="dk1"/>
              </a:solidFill>
              <a:effectLst/>
              <a:latin typeface="+mn-lt"/>
              <a:ea typeface="+mn-ea"/>
              <a:cs typeface="+mn-cs"/>
            </a:rPr>
            <a:t>, </a:t>
          </a:r>
          <a:r>
            <a:rPr lang="el-GR" sz="1100" b="1">
              <a:solidFill>
                <a:schemeClr val="dk1"/>
              </a:solidFill>
              <a:effectLst/>
              <a:latin typeface="+mn-lt"/>
              <a:ea typeface="+mn-ea"/>
              <a:cs typeface="+mn-cs"/>
            </a:rPr>
            <a:t>Γ</a:t>
          </a:r>
          <a:r>
            <a:rPr lang="en-US" sz="1100">
              <a:solidFill>
                <a:schemeClr val="dk1"/>
              </a:solidFill>
              <a:effectLst/>
              <a:latin typeface="+mn-lt"/>
              <a:ea typeface="+mn-ea"/>
              <a:cs typeface="+mn-cs"/>
            </a:rPr>
            <a:t>, </a:t>
          </a:r>
          <a:r>
            <a:rPr lang="el-GR" sz="1100" b="1">
              <a:solidFill>
                <a:schemeClr val="dk1"/>
              </a:solidFill>
              <a:effectLst/>
              <a:latin typeface="+mn-lt"/>
              <a:ea typeface="+mn-ea"/>
              <a:cs typeface="+mn-cs"/>
            </a:rPr>
            <a:t>Σ</a:t>
          </a:r>
          <a:r>
            <a:rPr lang="en-US" sz="1100" b="1">
              <a:solidFill>
                <a:schemeClr val="dk1"/>
              </a:solidFill>
              <a:effectLst/>
              <a:latin typeface="+mn-lt"/>
              <a:ea typeface="+mn-ea"/>
              <a:cs typeface="+mn-cs"/>
            </a:rPr>
            <a:t>, </a:t>
          </a:r>
          <a:r>
            <a:rPr lang="en-US" sz="1100" b="1" i="1">
              <a:solidFill>
                <a:schemeClr val="dk1"/>
              </a:solidFill>
              <a:effectLst/>
              <a:latin typeface="+mn-lt"/>
              <a:ea typeface="+mn-ea"/>
              <a:cs typeface="+mn-cs"/>
            </a:rPr>
            <a:t>F - </a:t>
          </a:r>
          <a:r>
            <a:rPr lang="en-US" sz="1100" b="0" i="0">
              <a:solidFill>
                <a:schemeClr val="dk1"/>
              </a:solidFill>
              <a:effectLst/>
              <a:latin typeface="+mn-lt"/>
              <a:ea typeface="+mn-ea"/>
              <a:cs typeface="+mn-cs"/>
            </a:rPr>
            <a:t>can all be left</a:t>
          </a:r>
          <a:r>
            <a:rPr lang="en-US" sz="1100" b="0" i="0" baseline="0">
              <a:solidFill>
                <a:schemeClr val="dk1"/>
              </a:solidFill>
              <a:effectLst/>
              <a:latin typeface="+mn-lt"/>
              <a:ea typeface="+mn-ea"/>
              <a:cs typeface="+mn-cs"/>
            </a:rPr>
            <a:t> unspecified for us. All specified states exist, the first specified state is the starting state, and the last specified state is the sole final state. All final states should be rewritten as states which transition to the final state. </a:t>
          </a:r>
        </a:p>
        <a:p>
          <a:r>
            <a:rPr lang="en-US" sz="1100" b="0" i="1" baseline="0">
              <a:solidFill>
                <a:schemeClr val="dk1"/>
              </a:solidFill>
              <a:effectLst/>
              <a:latin typeface="+mn-lt"/>
              <a:ea typeface="+mn-ea"/>
              <a:cs typeface="+mn-cs"/>
            </a:rPr>
            <a:t>b</a:t>
          </a:r>
          <a:r>
            <a:rPr lang="en-US" sz="1100" b="0" i="0" baseline="0">
              <a:solidFill>
                <a:schemeClr val="dk1"/>
              </a:solidFill>
              <a:effectLst/>
              <a:latin typeface="+mn-lt"/>
              <a:ea typeface="+mn-ea"/>
              <a:cs typeface="+mn-cs"/>
            </a:rPr>
            <a:t> = "B".</a:t>
          </a:r>
        </a:p>
        <a:p>
          <a:r>
            <a:rPr lang="el-GR" sz="1100" i="1">
              <a:solidFill>
                <a:schemeClr val="dk1"/>
              </a:solidFill>
              <a:effectLst/>
              <a:latin typeface="+mn-lt"/>
              <a:ea typeface="+mn-ea"/>
              <a:cs typeface="+mn-cs"/>
            </a:rPr>
            <a:t>δ</a:t>
          </a:r>
          <a:r>
            <a:rPr lang="en-US" sz="1100" i="1">
              <a:solidFill>
                <a:schemeClr val="dk1"/>
              </a:solidFill>
              <a:effectLst/>
              <a:latin typeface="+mn-lt"/>
              <a:ea typeface="+mn-ea"/>
              <a:cs typeface="+mn-cs"/>
            </a:rPr>
            <a:t>(q,</a:t>
          </a:r>
          <a:r>
            <a:rPr lang="en-US" sz="1100" i="0">
              <a:solidFill>
                <a:schemeClr val="dk1"/>
              </a:solidFill>
              <a:effectLst/>
              <a:latin typeface="+mn-lt"/>
              <a:ea typeface="+mn-ea"/>
              <a:cs typeface="+mn-cs"/>
            </a:rPr>
            <a:t> </a:t>
          </a:r>
          <a:r>
            <a:rPr lang="en-US" sz="1100" i="1">
              <a:solidFill>
                <a:schemeClr val="dk1"/>
              </a:solidFill>
              <a:effectLst/>
              <a:latin typeface="+mn-lt"/>
              <a:ea typeface="+mn-ea"/>
              <a:cs typeface="+mn-cs"/>
            </a:rPr>
            <a:t>x</a:t>
          </a:r>
          <a:r>
            <a:rPr lang="en-US" sz="1100" i="0">
              <a:solidFill>
                <a:schemeClr val="dk1"/>
              </a:solidFill>
              <a:effectLst/>
              <a:latin typeface="+mn-lt"/>
              <a:ea typeface="+mn-ea"/>
              <a:cs typeface="+mn-cs"/>
            </a:rPr>
            <a:t>)</a:t>
          </a:r>
          <a:r>
            <a:rPr lang="en-US" sz="1100" i="1">
              <a:solidFill>
                <a:schemeClr val="dk1"/>
              </a:solidFill>
              <a:effectLst/>
              <a:latin typeface="+mn-lt"/>
              <a:ea typeface="+mn-ea"/>
              <a:cs typeface="+mn-cs"/>
            </a:rPr>
            <a:t> </a:t>
          </a:r>
          <a:r>
            <a:rPr lang="en-US" sz="1100" i="0">
              <a:solidFill>
                <a:schemeClr val="dk1"/>
              </a:solidFill>
              <a:effectLst/>
              <a:latin typeface="+mn-lt"/>
              <a:ea typeface="+mn-ea"/>
              <a:cs typeface="+mn-cs"/>
            </a:rPr>
            <a:t>is</a:t>
          </a:r>
          <a:r>
            <a:rPr lang="en-US" sz="1100" i="0" baseline="0">
              <a:solidFill>
                <a:schemeClr val="dk1"/>
              </a:solidFill>
              <a:effectLst/>
              <a:latin typeface="+mn-lt"/>
              <a:ea typeface="+mn-ea"/>
              <a:cs typeface="+mn-cs"/>
            </a:rPr>
            <a:t> defined as a table labeled current states by current symbol. Each table entry links to a specific triple: &lt;</a:t>
          </a:r>
          <a:r>
            <a:rPr lang="en-US" sz="1100" b="0" i="1" baseline="0">
              <a:solidFill>
                <a:schemeClr val="dk1"/>
              </a:solidFill>
              <a:effectLst/>
              <a:latin typeface="+mn-lt"/>
              <a:ea typeface="+mn-ea"/>
              <a:cs typeface="+mn-cs"/>
            </a:rPr>
            <a:t>q'</a:t>
          </a:r>
          <a:r>
            <a:rPr lang="en-US" sz="1100" b="0" i="0"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x'</a:t>
          </a:r>
          <a:r>
            <a:rPr lang="en-US" sz="1100" b="0" i="0" baseline="0">
              <a:solidFill>
                <a:schemeClr val="dk1"/>
              </a:solidFill>
              <a:effectLst/>
              <a:latin typeface="+mn-lt"/>
              <a:ea typeface="+mn-ea"/>
              <a:cs typeface="+mn-cs"/>
            </a:rPr>
            <a:t>, {L,R}&gt; where</a:t>
          </a:r>
        </a:p>
        <a:p>
          <a:r>
            <a:rPr lang="en-US" sz="1100" b="0" i="1" baseline="0">
              <a:solidFill>
                <a:schemeClr val="dk1"/>
              </a:solidFill>
              <a:effectLst/>
              <a:latin typeface="+mn-lt"/>
              <a:ea typeface="+mn-ea"/>
              <a:cs typeface="+mn-cs"/>
            </a:rPr>
            <a:t>q'</a:t>
          </a:r>
          <a:r>
            <a:rPr lang="en-US" sz="1100" b="0" i="0" baseline="0">
              <a:solidFill>
                <a:schemeClr val="dk1"/>
              </a:solidFill>
              <a:effectLst/>
              <a:latin typeface="+mn-lt"/>
              <a:ea typeface="+mn-ea"/>
              <a:cs typeface="+mn-cs"/>
            </a:rPr>
            <a:t> is the state to transition to</a:t>
          </a:r>
        </a:p>
        <a:p>
          <a:r>
            <a:rPr lang="en-US" sz="1100" b="0" i="1" baseline="0">
              <a:solidFill>
                <a:schemeClr val="dk1"/>
              </a:solidFill>
              <a:effectLst/>
              <a:latin typeface="+mn-lt"/>
              <a:ea typeface="+mn-ea"/>
              <a:cs typeface="+mn-cs"/>
            </a:rPr>
            <a:t>x'</a:t>
          </a:r>
          <a:r>
            <a:rPr lang="en-US" sz="1100" b="0" i="0" baseline="0">
              <a:solidFill>
                <a:schemeClr val="dk1"/>
              </a:solidFill>
              <a:effectLst/>
              <a:latin typeface="+mn-lt"/>
              <a:ea typeface="+mn-ea"/>
              <a:cs typeface="+mn-cs"/>
            </a:rPr>
            <a:t> is the symbol to write to tape</a:t>
          </a:r>
        </a:p>
        <a:p>
          <a:r>
            <a:rPr lang="en-US" sz="1100" b="0" i="0" baseline="0">
              <a:solidFill>
                <a:schemeClr val="dk1"/>
              </a:solidFill>
              <a:effectLst/>
              <a:latin typeface="+mn-lt"/>
              <a:ea typeface="+mn-ea"/>
              <a:cs typeface="+mn-cs"/>
            </a:rPr>
            <a:t>{L,R} signifies wether to move the tape head right or left</a:t>
          </a:r>
          <a:endParaRPr lang="en-US" sz="1100" b="0" i="1" baseline="0">
            <a:solidFill>
              <a:schemeClr val="dk1"/>
            </a:solidFill>
            <a:effectLst/>
            <a:latin typeface="+mn-lt"/>
            <a:ea typeface="+mn-ea"/>
            <a:cs typeface="+mn-cs"/>
          </a:endParaRPr>
        </a:p>
        <a:p>
          <a:endParaRPr lang="en-US" sz="1100" i="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48"/>
  <sheetViews>
    <sheetView tabSelected="1" topLeftCell="A25" workbookViewId="0">
      <selection activeCell="F32" sqref="F32"/>
    </sheetView>
  </sheetViews>
  <sheetFormatPr defaultRowHeight="14.4" x14ac:dyDescent="0.3"/>
  <sheetData>
    <row r="1" spans="1:19" x14ac:dyDescent="0.3">
      <c r="A1" t="s">
        <v>0</v>
      </c>
      <c r="B1">
        <v>0</v>
      </c>
      <c r="C1">
        <f>MOD(INT(Age/10000),10)</f>
        <v>0</v>
      </c>
      <c r="D1">
        <f>MOD(INT(Age/1000),10)</f>
        <v>0</v>
      </c>
      <c r="E1">
        <f>MOD(INT(Age/100),10)</f>
        <v>0</v>
      </c>
      <c r="F1">
        <f>MOD(INT(Age/10),10)</f>
        <v>0</v>
      </c>
      <c r="G1">
        <f>MOD(INT(Age),10)</f>
        <v>0</v>
      </c>
    </row>
    <row r="2" spans="1:19" x14ac:dyDescent="0.3">
      <c r="I2" t="s">
        <v>1</v>
      </c>
      <c r="J2">
        <v>1</v>
      </c>
    </row>
    <row r="3" spans="1:19" ht="14.4" customHeight="1" x14ac:dyDescent="0.3">
      <c r="I3" t="s">
        <v>2</v>
      </c>
      <c r="J3">
        <v>-1</v>
      </c>
      <c r="L3" s="9" t="s">
        <v>11</v>
      </c>
      <c r="M3" s="9"/>
      <c r="N3" s="9"/>
      <c r="O3" s="9"/>
      <c r="P3" s="9"/>
      <c r="Q3" s="9"/>
    </row>
    <row r="4" spans="1:19" x14ac:dyDescent="0.3">
      <c r="I4" t="s">
        <v>3</v>
      </c>
      <c r="J4">
        <v>0</v>
      </c>
      <c r="L4" s="9"/>
      <c r="M4" s="9"/>
      <c r="N4" s="9"/>
      <c r="O4" s="9"/>
      <c r="P4" s="9"/>
      <c r="Q4" s="9"/>
    </row>
    <row r="5" spans="1:19" x14ac:dyDescent="0.3">
      <c r="I5" t="s">
        <v>4</v>
      </c>
      <c r="J5">
        <v>1</v>
      </c>
      <c r="L5" s="9"/>
      <c r="M5" s="9"/>
      <c r="N5" s="9"/>
      <c r="O5" s="9"/>
      <c r="P5" s="9"/>
      <c r="Q5" s="9"/>
    </row>
    <row r="6" spans="1:19" x14ac:dyDescent="0.3">
      <c r="L6" s="9" t="s">
        <v>12</v>
      </c>
      <c r="M6" s="9"/>
      <c r="N6" s="9"/>
      <c r="O6" s="9"/>
      <c r="P6" s="9"/>
      <c r="Q6" s="9"/>
    </row>
    <row r="7" spans="1:19" x14ac:dyDescent="0.3">
      <c r="A7" t="s">
        <v>5</v>
      </c>
      <c r="B7" s="6">
        <f>MOD(A13,18)</f>
        <v>0</v>
      </c>
      <c r="L7" s="9"/>
      <c r="M7" s="9"/>
      <c r="N7" s="9"/>
      <c r="O7" s="9"/>
      <c r="P7" s="9"/>
      <c r="Q7" s="9"/>
    </row>
    <row r="8" spans="1:19" x14ac:dyDescent="0.3">
      <c r="A8" t="s">
        <v>9</v>
      </c>
      <c r="B8" s="6" t="str">
        <f>INDEX(Tape, 1, Head+1)</f>
        <v>a</v>
      </c>
      <c r="D8" t="s">
        <v>36</v>
      </c>
      <c r="G8" t="str">
        <f>HLOOKUP(Read,state_table,2, FALSE)</f>
        <v>A37:C37</v>
      </c>
      <c r="L8" s="9"/>
      <c r="M8" s="9"/>
      <c r="N8" s="9"/>
      <c r="O8" s="9"/>
      <c r="P8" s="9"/>
      <c r="Q8" s="9"/>
    </row>
    <row r="9" spans="1:19" x14ac:dyDescent="0.3">
      <c r="A9" t="s">
        <v>10</v>
      </c>
      <c r="B9" s="6" t="str">
        <f ca="1">INDEX(INDIRECT(HLOOKUP(Read,state_table,State+1, FALSE)), 1, 2)</f>
        <v>C</v>
      </c>
      <c r="D9" t="s">
        <v>40</v>
      </c>
      <c r="L9" s="2"/>
      <c r="M9" s="2"/>
      <c r="N9" s="2"/>
      <c r="O9" s="2"/>
      <c r="P9" s="2"/>
      <c r="Q9" s="2"/>
    </row>
    <row r="10" spans="1:19" x14ac:dyDescent="0.3">
      <c r="A10" t="s">
        <v>38</v>
      </c>
      <c r="B10" s="6" t="str">
        <f ca="1">INDEX(INDIRECT(HLOOKUP(Read,state_table,State+1, FALSE)), 1, 3)</f>
        <v>R</v>
      </c>
      <c r="D10" t="s">
        <v>37</v>
      </c>
      <c r="G10">
        <f ca="1">INDEX(INDIRECT(G8), 1, 1)</f>
        <v>2</v>
      </c>
      <c r="L10" s="2"/>
      <c r="M10" s="2" t="str">
        <f ca="1">HLOOKUP("a",state_table,State+1, FALSE)</f>
        <v>A37:C37</v>
      </c>
      <c r="N10" s="2"/>
      <c r="O10" s="2"/>
      <c r="P10" s="2"/>
      <c r="Q10" s="2"/>
    </row>
    <row r="11" spans="1:19" x14ac:dyDescent="0.3">
      <c r="A11" t="s">
        <v>34</v>
      </c>
      <c r="B11" s="6">
        <f ca="1">IF(Age=0, 1, INDEX(INDIRECT(HLOOKUP(Read,state_table,State+1, FALSE)), 1, 1))</f>
        <v>1</v>
      </c>
      <c r="L11" s="2"/>
      <c r="M11" s="2" t="str">
        <f ca="1">HLOOKUP("A",state_table,State+1, FALSE)</f>
        <v>A37:C37</v>
      </c>
      <c r="N11" s="2"/>
      <c r="O11" s="2"/>
      <c r="P11" s="2"/>
      <c r="Q11" s="2"/>
    </row>
    <row r="12" spans="1:19" x14ac:dyDescent="0.3">
      <c r="I12" t="s">
        <v>39</v>
      </c>
      <c r="J12">
        <f ca="1">IF(Direction="R", 1, IF(Direction="L", -1, 0))</f>
        <v>1</v>
      </c>
    </row>
    <row r="13" spans="1:19" x14ac:dyDescent="0.3">
      <c r="A13">
        <f>IF(J2=1, IF(Age=0, 0, A13+Head_control), IF(J2=0, A13, 0))</f>
        <v>0</v>
      </c>
    </row>
    <row r="14" spans="1:19" x14ac:dyDescent="0.3">
      <c r="A14" t="s">
        <v>8</v>
      </c>
      <c r="B14">
        <v>0</v>
      </c>
      <c r="C14">
        <v>1</v>
      </c>
      <c r="D14">
        <v>2</v>
      </c>
      <c r="E14">
        <v>3</v>
      </c>
      <c r="F14">
        <v>4</v>
      </c>
      <c r="G14">
        <v>5</v>
      </c>
      <c r="H14">
        <v>6</v>
      </c>
      <c r="I14">
        <v>7</v>
      </c>
      <c r="J14">
        <v>8</v>
      </c>
      <c r="K14">
        <v>9</v>
      </c>
      <c r="L14">
        <v>10</v>
      </c>
      <c r="M14">
        <v>11</v>
      </c>
      <c r="N14">
        <v>12</v>
      </c>
      <c r="O14">
        <v>13</v>
      </c>
      <c r="P14">
        <v>14</v>
      </c>
      <c r="Q14">
        <v>15</v>
      </c>
      <c r="R14">
        <v>16</v>
      </c>
      <c r="S14">
        <v>17</v>
      </c>
    </row>
    <row r="15" spans="1:19" x14ac:dyDescent="0.3">
      <c r="A15" t="s">
        <v>7</v>
      </c>
      <c r="B15" t="str">
        <f>IF(Head=B14, "HEAD", "")</f>
        <v>HEAD</v>
      </c>
      <c r="C15" t="str">
        <f t="shared" ref="C15:S15" si="0">IF(Head=C14, "HEAD", "")</f>
        <v/>
      </c>
      <c r="D15" t="str">
        <f t="shared" si="0"/>
        <v/>
      </c>
      <c r="E15" t="str">
        <f t="shared" si="0"/>
        <v/>
      </c>
      <c r="F15" t="str">
        <f t="shared" si="0"/>
        <v/>
      </c>
      <c r="G15" t="str">
        <f t="shared" si="0"/>
        <v/>
      </c>
      <c r="H15" t="str">
        <f t="shared" si="0"/>
        <v/>
      </c>
      <c r="I15" t="str">
        <f t="shared" si="0"/>
        <v/>
      </c>
      <c r="J15" t="str">
        <f t="shared" si="0"/>
        <v/>
      </c>
      <c r="K15" t="str">
        <f t="shared" si="0"/>
        <v/>
      </c>
      <c r="L15" t="str">
        <f t="shared" si="0"/>
        <v/>
      </c>
      <c r="M15" t="str">
        <f t="shared" si="0"/>
        <v/>
      </c>
      <c r="N15" t="str">
        <f t="shared" si="0"/>
        <v/>
      </c>
      <c r="O15" t="str">
        <f t="shared" si="0"/>
        <v/>
      </c>
      <c r="P15" t="str">
        <f t="shared" si="0"/>
        <v/>
      </c>
      <c r="Q15" t="str">
        <f t="shared" si="0"/>
        <v/>
      </c>
      <c r="R15" t="str">
        <f t="shared" si="0"/>
        <v/>
      </c>
      <c r="S15" t="str">
        <f t="shared" si="0"/>
        <v/>
      </c>
    </row>
    <row r="16" spans="1:19" x14ac:dyDescent="0.3">
      <c r="A16" t="s">
        <v>6</v>
      </c>
      <c r="B16" s="10" t="str">
        <f t="shared" ref="B16:S16" si="1">IF(Age=0,B48,IF(B15="HEAD",Write,B16))</f>
        <v>a</v>
      </c>
      <c r="C16" s="1" t="str">
        <f t="shared" si="1"/>
        <v>a</v>
      </c>
      <c r="D16" s="1" t="str">
        <f t="shared" si="1"/>
        <v>a</v>
      </c>
      <c r="E16" s="1" t="str">
        <f t="shared" si="1"/>
        <v>a</v>
      </c>
      <c r="F16" s="1" t="str">
        <f t="shared" si="1"/>
        <v>b</v>
      </c>
      <c r="G16" s="1" t="str">
        <f t="shared" si="1"/>
        <v>b</v>
      </c>
      <c r="H16" s="1" t="str">
        <f t="shared" si="1"/>
        <v>b</v>
      </c>
      <c r="I16" s="1" t="str">
        <f t="shared" si="1"/>
        <v>b</v>
      </c>
      <c r="J16" s="1" t="str">
        <f t="shared" si="1"/>
        <v>#</v>
      </c>
      <c r="K16" s="1" t="str">
        <f t="shared" si="1"/>
        <v>#</v>
      </c>
      <c r="L16" s="1" t="str">
        <f t="shared" si="1"/>
        <v>#</v>
      </c>
      <c r="M16" s="1" t="str">
        <f t="shared" si="1"/>
        <v>#</v>
      </c>
      <c r="N16" s="1" t="str">
        <f t="shared" si="1"/>
        <v>#</v>
      </c>
      <c r="O16" s="1" t="str">
        <f t="shared" si="1"/>
        <v>#</v>
      </c>
      <c r="P16" s="1" t="str">
        <f t="shared" si="1"/>
        <v>#</v>
      </c>
      <c r="Q16" s="1" t="str">
        <f t="shared" si="1"/>
        <v>#</v>
      </c>
      <c r="R16" s="1" t="str">
        <f t="shared" si="1"/>
        <v>#</v>
      </c>
      <c r="S16" s="1" t="str">
        <f t="shared" si="1"/>
        <v>#</v>
      </c>
    </row>
    <row r="18" spans="1:9" ht="18" customHeight="1" x14ac:dyDescent="0.3"/>
    <row r="19" spans="1:9" ht="13.2" customHeight="1" x14ac:dyDescent="0.3"/>
    <row r="31" spans="1:9" x14ac:dyDescent="0.3">
      <c r="A31" s="4" t="s">
        <v>13</v>
      </c>
      <c r="B31" t="s">
        <v>14</v>
      </c>
      <c r="C31" t="s">
        <v>15</v>
      </c>
      <c r="D31" t="s">
        <v>42</v>
      </c>
      <c r="E31" t="s">
        <v>43</v>
      </c>
      <c r="F31" t="s">
        <v>28</v>
      </c>
      <c r="H31" t="s">
        <v>46</v>
      </c>
      <c r="I31">
        <f>COLUMN(INDEX(state_table,1,1))</f>
        <v>2</v>
      </c>
    </row>
    <row r="32" spans="1:9" x14ac:dyDescent="0.3">
      <c r="A32" s="3" t="s">
        <v>16</v>
      </c>
      <c r="B32" t="s">
        <v>23</v>
      </c>
      <c r="C32" s="11" t="s">
        <v>32</v>
      </c>
      <c r="D32" s="11" t="s">
        <v>32</v>
      </c>
      <c r="E32" s="7" t="s">
        <v>35</v>
      </c>
      <c r="F32" s="11" t="s">
        <v>32</v>
      </c>
      <c r="H32" t="s">
        <v>47</v>
      </c>
      <c r="I32">
        <f>ROW(INDEX(state_table,1,1))</f>
        <v>31</v>
      </c>
    </row>
    <row r="33" spans="1:20" x14ac:dyDescent="0.3">
      <c r="A33" t="s">
        <v>17</v>
      </c>
      <c r="B33" t="s">
        <v>24</v>
      </c>
      <c r="C33" t="s">
        <v>25</v>
      </c>
      <c r="D33" s="11" t="s">
        <v>32</v>
      </c>
      <c r="E33" t="s">
        <v>27</v>
      </c>
      <c r="F33" s="11" t="s">
        <v>32</v>
      </c>
      <c r="H33" t="s">
        <v>44</v>
      </c>
      <c r="I33">
        <f>COLUMNS(state_table)</f>
        <v>5</v>
      </c>
    </row>
    <row r="34" spans="1:20" x14ac:dyDescent="0.3">
      <c r="A34" t="s">
        <v>18</v>
      </c>
      <c r="B34" t="s">
        <v>29</v>
      </c>
      <c r="C34" s="11" t="s">
        <v>32</v>
      </c>
      <c r="D34" t="s">
        <v>31</v>
      </c>
      <c r="E34" t="s">
        <v>30</v>
      </c>
      <c r="F34" t="s">
        <v>35</v>
      </c>
      <c r="H34" t="s">
        <v>45</v>
      </c>
      <c r="I34">
        <f>ROWS(state_table)</f>
        <v>5</v>
      </c>
    </row>
    <row r="35" spans="1:20" x14ac:dyDescent="0.3">
      <c r="A35" t="s">
        <v>33</v>
      </c>
      <c r="B35" s="11" t="s">
        <v>32</v>
      </c>
      <c r="C35" s="11" t="s">
        <v>32</v>
      </c>
      <c r="D35" s="11" t="s">
        <v>32</v>
      </c>
      <c r="E35" s="11" t="s">
        <v>32</v>
      </c>
      <c r="F35" s="11" t="s">
        <v>32</v>
      </c>
    </row>
    <row r="36" spans="1:20" x14ac:dyDescent="0.3">
      <c r="A36" s="5" t="s">
        <v>19</v>
      </c>
      <c r="B36" s="5" t="s">
        <v>20</v>
      </c>
      <c r="C36" s="6" t="s">
        <v>21</v>
      </c>
    </row>
    <row r="37" spans="1:20" x14ac:dyDescent="0.3">
      <c r="A37">
        <v>2</v>
      </c>
      <c r="B37" t="s">
        <v>42</v>
      </c>
      <c r="C37" t="s">
        <v>22</v>
      </c>
    </row>
    <row r="38" spans="1:20" x14ac:dyDescent="0.3">
      <c r="A38">
        <v>2</v>
      </c>
      <c r="B38" t="s">
        <v>14</v>
      </c>
      <c r="C38" t="s">
        <v>22</v>
      </c>
    </row>
    <row r="39" spans="1:20" x14ac:dyDescent="0.3">
      <c r="A39">
        <v>3</v>
      </c>
      <c r="B39" t="s">
        <v>43</v>
      </c>
      <c r="C39" t="s">
        <v>26</v>
      </c>
      <c r="E39" s="13"/>
    </row>
    <row r="40" spans="1:20" x14ac:dyDescent="0.3">
      <c r="A40">
        <v>2</v>
      </c>
      <c r="B40" t="s">
        <v>43</v>
      </c>
      <c r="C40" t="s">
        <v>22</v>
      </c>
    </row>
    <row r="41" spans="1:20" x14ac:dyDescent="0.3">
      <c r="A41">
        <v>3</v>
      </c>
      <c r="B41" t="s">
        <v>14</v>
      </c>
      <c r="C41" t="s">
        <v>26</v>
      </c>
    </row>
    <row r="42" spans="1:20" x14ac:dyDescent="0.3">
      <c r="A42">
        <v>3</v>
      </c>
      <c r="B42" t="s">
        <v>43</v>
      </c>
      <c r="C42" t="s">
        <v>26</v>
      </c>
    </row>
    <row r="43" spans="1:20" x14ac:dyDescent="0.3">
      <c r="A43">
        <v>1</v>
      </c>
      <c r="B43" t="s">
        <v>42</v>
      </c>
      <c r="C43" t="s">
        <v>22</v>
      </c>
    </row>
    <row r="44" spans="1:20" x14ac:dyDescent="0.3">
      <c r="A44" s="12">
        <v>4</v>
      </c>
      <c r="B44" s="12" t="s">
        <v>28</v>
      </c>
      <c r="C44" s="12" t="s">
        <v>26</v>
      </c>
    </row>
    <row r="45" spans="1:20" x14ac:dyDescent="0.3">
      <c r="A45" s="8">
        <v>4</v>
      </c>
      <c r="B45" s="8" t="s">
        <v>28</v>
      </c>
      <c r="C45" s="8" t="s">
        <v>22</v>
      </c>
    </row>
    <row r="48" spans="1:20" x14ac:dyDescent="0.3">
      <c r="A48" t="s">
        <v>41</v>
      </c>
      <c r="B48" t="s">
        <v>14</v>
      </c>
      <c r="C48" t="s">
        <v>14</v>
      </c>
      <c r="D48" t="s">
        <v>14</v>
      </c>
      <c r="E48" t="s">
        <v>14</v>
      </c>
      <c r="F48" t="s">
        <v>15</v>
      </c>
      <c r="G48" t="s">
        <v>15</v>
      </c>
      <c r="H48" t="s">
        <v>15</v>
      </c>
      <c r="I48" t="s">
        <v>15</v>
      </c>
      <c r="J48" t="s">
        <v>28</v>
      </c>
      <c r="K48" t="s">
        <v>28</v>
      </c>
      <c r="L48" t="s">
        <v>28</v>
      </c>
      <c r="M48" t="s">
        <v>28</v>
      </c>
      <c r="N48" t="s">
        <v>28</v>
      </c>
      <c r="O48" t="s">
        <v>28</v>
      </c>
      <c r="P48" t="s">
        <v>28</v>
      </c>
      <c r="Q48" t="s">
        <v>28</v>
      </c>
      <c r="R48" t="s">
        <v>28</v>
      </c>
      <c r="S48" t="s">
        <v>28</v>
      </c>
      <c r="T48" t="s">
        <v>28</v>
      </c>
    </row>
  </sheetData>
  <mergeCells count="2">
    <mergeCell ref="L3:Q5"/>
    <mergeCell ref="L6:Q8"/>
  </mergeCells>
  <conditionalFormatting sqref="B11">
    <cfRule type="cellIs" dxfId="3" priority="4" operator="equal">
      <formula>ROWS(state_table)-1</formula>
    </cfRule>
    <cfRule type="cellIs" dxfId="2" priority="5" operator="equal">
      <formula>ROWS(state_table)</formula>
    </cfRule>
  </conditionalFormatting>
  <conditionalFormatting sqref="B16:S16">
    <cfRule type="expression" dxfId="1" priority="1">
      <formula>State=ROWS(state_table)-2</formula>
    </cfRule>
    <cfRule type="expression" dxfId="0" priority="2">
      <formula>State=ROWS(state_table)-1</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Sheet1</vt:lpstr>
      <vt:lpstr>Sheet2</vt:lpstr>
      <vt:lpstr>Sheet3</vt:lpstr>
      <vt:lpstr>Age</vt:lpstr>
      <vt:lpstr>Cotrol</vt:lpstr>
      <vt:lpstr>Direction</vt:lpstr>
      <vt:lpstr>Head</vt:lpstr>
      <vt:lpstr>Head_control</vt:lpstr>
      <vt:lpstr>Read</vt:lpstr>
      <vt:lpstr>State</vt:lpstr>
      <vt:lpstr>state_table</vt:lpstr>
      <vt:lpstr>Tape</vt:lpstr>
      <vt:lpstr>test</vt:lpstr>
      <vt:lpstr>transition_table</vt:lpstr>
      <vt:lpstr>Write</vt:lpstr>
    </vt:vector>
  </TitlesOfParts>
  <Company>MTU - ITSS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jsstienn</dc:creator>
  <cp:lastModifiedBy>jsstienn</cp:lastModifiedBy>
  <dcterms:created xsi:type="dcterms:W3CDTF">2012-03-11T17:36:30Z</dcterms:created>
  <dcterms:modified xsi:type="dcterms:W3CDTF">2012-03-21T21:35:14Z</dcterms:modified>
</cp:coreProperties>
</file>