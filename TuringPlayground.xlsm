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84" windowWidth="20100" windowHeight="9204"/>
  </bookViews>
  <sheets>
    <sheet name="Sheet1" sheetId="1" r:id="rId1"/>
    <sheet name="Sheet2" sheetId="2" r:id="rId2"/>
    <sheet name="Sheet3" sheetId="3" r:id="rId3"/>
  </sheets>
  <definedNames>
    <definedName name="Age">Sheet1!$B$1</definedName>
    <definedName name="Cotrol">Sheet1!$I$3:$J$5</definedName>
    <definedName name="Head">Sheet1!$B$7</definedName>
    <definedName name="Read">Sheet1!$B$8</definedName>
    <definedName name="Tape">Sheet1!$B$16:$S$16</definedName>
    <definedName name="test">Sheet1!$F$9</definedName>
    <definedName name="Write">Sheet1!$B$9</definedName>
  </definedNames>
  <calcPr calcId="145621" iterate="1" iterateCount="1"/>
</workbook>
</file>

<file path=xl/calcChain.xml><?xml version="1.0" encoding="utf-8"?>
<calcChain xmlns="http://schemas.openxmlformats.org/spreadsheetml/2006/main">
  <c r="G1" i="1" l="1"/>
  <c r="F1" i="1"/>
  <c r="E1" i="1"/>
  <c r="D1" i="1"/>
  <c r="C1" i="1"/>
  <c r="A5" i="1" l="1"/>
  <c r="B7" i="1"/>
  <c r="B8" i="1"/>
  <c r="B9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</calcChain>
</file>

<file path=xl/sharedStrings.xml><?xml version="1.0" encoding="utf-8"?>
<sst xmlns="http://schemas.openxmlformats.org/spreadsheetml/2006/main" count="13" uniqueCount="13">
  <si>
    <t>Age:</t>
  </si>
  <si>
    <t>Control:</t>
  </si>
  <si>
    <t>restart</t>
  </si>
  <si>
    <t>stop</t>
  </si>
  <si>
    <t>go</t>
  </si>
  <si>
    <t>Head:</t>
  </si>
  <si>
    <t>Tape:</t>
  </si>
  <si>
    <t>Head ind.</t>
  </si>
  <si>
    <t>Index</t>
  </si>
  <si>
    <t>Read:</t>
  </si>
  <si>
    <t>Write:</t>
  </si>
  <si>
    <t>TODO: create a subroutine for copying a string from one cell to the tape.</t>
  </si>
  <si>
    <t>TODO: create a way to read a machine from the tape, then run the machine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</si>
</sst>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6"/>
  <sheetViews>
    <sheetView tabSelected="1" workbookViewId="0">
      <selection activeCell="L9" sqref="L9"/>
    </sheetView>
  </sheetViews>
  <sheetFormatPr defaultRowHeight="14.4" x14ac:dyDescent="0.3"/>
  <sheetData>
    <row r="1" spans="1:19" x14ac:dyDescent="0.3">
      <c r="A1" t="s">
        <v>0</v>
      </c>
      <c r="B1">
        <v>30424</v>
      </c>
      <c r="C1">
        <f>MOD(INT(Age/10000),10)</f>
        <v>3</v>
      </c>
      <c r="D1">
        <f>MOD(INT(Age/1000),10)</f>
        <v>0</v>
      </c>
      <c r="E1">
        <f>MOD(INT(Age/100),10)</f>
        <v>4</v>
      </c>
      <c r="F1">
        <f>MOD(INT(Age/10),10)</f>
        <v>2</v>
      </c>
      <c r="G1">
        <f>MOD(INT(Age),10)</f>
        <v>4</v>
      </c>
    </row>
    <row r="2" spans="1:19" x14ac:dyDescent="0.3">
      <c r="I2" t="s">
        <v>1</v>
      </c>
      <c r="J2">
        <v>1</v>
      </c>
    </row>
    <row r="3" spans="1:19" ht="14.4" customHeight="1" x14ac:dyDescent="0.3">
      <c r="I3" t="s">
        <v>2</v>
      </c>
      <c r="J3">
        <v>-1</v>
      </c>
      <c r="L3" s="2" t="s">
        <v>11</v>
      </c>
      <c r="M3" s="2"/>
      <c r="N3" s="2"/>
      <c r="O3" s="2"/>
      <c r="P3" s="2"/>
      <c r="Q3" s="2"/>
    </row>
    <row r="4" spans="1:19" x14ac:dyDescent="0.3">
      <c r="I4" t="s">
        <v>3</v>
      </c>
      <c r="J4">
        <v>0</v>
      </c>
      <c r="L4" s="2"/>
      <c r="M4" s="2"/>
      <c r="N4" s="2"/>
      <c r="O4" s="2"/>
      <c r="P4" s="2"/>
      <c r="Q4" s="2"/>
    </row>
    <row r="5" spans="1:19" x14ac:dyDescent="0.3">
      <c r="A5">
        <f ca="1">IF(J2=1, IF(ISEVEN(Age), A5+1, A5+1), IF(J2=0, A5, 0))</f>
        <v>597</v>
      </c>
      <c r="I5" t="s">
        <v>4</v>
      </c>
      <c r="J5">
        <v>1</v>
      </c>
      <c r="L5" s="2"/>
      <c r="M5" s="2"/>
      <c r="N5" s="2"/>
      <c r="O5" s="2"/>
      <c r="P5" s="2"/>
      <c r="Q5" s="2"/>
    </row>
    <row r="6" spans="1:19" x14ac:dyDescent="0.3">
      <c r="L6" s="2" t="s">
        <v>12</v>
      </c>
      <c r="M6" s="2"/>
      <c r="N6" s="2"/>
      <c r="O6" s="2"/>
      <c r="P6" s="2"/>
      <c r="Q6" s="2"/>
    </row>
    <row r="7" spans="1:19" x14ac:dyDescent="0.3">
      <c r="A7" t="s">
        <v>5</v>
      </c>
      <c r="B7">
        <f ca="1">MOD(A5,18)</f>
        <v>3</v>
      </c>
      <c r="L7" s="2"/>
      <c r="M7" s="2"/>
      <c r="N7" s="2"/>
      <c r="O7" s="2"/>
      <c r="P7" s="2"/>
      <c r="Q7" s="2"/>
    </row>
    <row r="8" spans="1:19" x14ac:dyDescent="0.3">
      <c r="A8" t="s">
        <v>9</v>
      </c>
      <c r="B8" t="str">
        <f ca="1">INDEX(Tape, 1, Head+1)</f>
        <v>b</v>
      </c>
      <c r="L8" s="2"/>
      <c r="M8" s="2"/>
      <c r="N8" s="2"/>
      <c r="O8" s="2"/>
      <c r="P8" s="2"/>
      <c r="Q8" s="2"/>
    </row>
    <row r="9" spans="1:19" x14ac:dyDescent="0.3">
      <c r="A9" t="s">
        <v>10</v>
      </c>
      <c r="B9" t="str">
        <f ca="1">IF(Read="B","a",IF(Read="a","b","a"))</f>
        <v>a</v>
      </c>
      <c r="L9" s="3"/>
      <c r="M9" s="3"/>
      <c r="N9" s="3"/>
      <c r="O9" s="3"/>
      <c r="P9" s="3"/>
      <c r="Q9" s="3"/>
    </row>
    <row r="10" spans="1:19" x14ac:dyDescent="0.3">
      <c r="L10" s="3"/>
      <c r="M10" s="3"/>
      <c r="N10" s="3"/>
      <c r="O10" s="3"/>
      <c r="P10" s="3"/>
      <c r="Q10" s="3"/>
    </row>
    <row r="11" spans="1:19" x14ac:dyDescent="0.3">
      <c r="L11" s="3"/>
      <c r="M11" s="3"/>
      <c r="N11" s="3"/>
      <c r="O11" s="3"/>
      <c r="P11" s="3"/>
      <c r="Q11" s="3"/>
    </row>
    <row r="14" spans="1:19" x14ac:dyDescent="0.3">
      <c r="A14" t="s">
        <v>8</v>
      </c>
      <c r="B14">
        <v>0</v>
      </c>
      <c r="C14">
        <v>1</v>
      </c>
      <c r="D14">
        <v>2</v>
      </c>
      <c r="E14">
        <v>3</v>
      </c>
      <c r="F14">
        <v>4</v>
      </c>
      <c r="G14">
        <v>5</v>
      </c>
      <c r="H14">
        <v>6</v>
      </c>
      <c r="I14">
        <v>7</v>
      </c>
      <c r="J14">
        <v>8</v>
      </c>
      <c r="K14">
        <v>9</v>
      </c>
      <c r="L14">
        <v>10</v>
      </c>
      <c r="M14">
        <v>11</v>
      </c>
      <c r="N14">
        <v>12</v>
      </c>
      <c r="O14">
        <v>13</v>
      </c>
      <c r="P14">
        <v>14</v>
      </c>
      <c r="Q14">
        <v>15</v>
      </c>
      <c r="R14">
        <v>16</v>
      </c>
      <c r="S14">
        <v>17</v>
      </c>
    </row>
    <row r="15" spans="1:19" x14ac:dyDescent="0.3">
      <c r="A15" t="s">
        <v>7</v>
      </c>
      <c r="B15" t="str">
        <f ca="1">IF(Head=B14, "HEAD", "")</f>
        <v/>
      </c>
      <c r="C15" t="str">
        <f ca="1">IF(Head=C14, "HEAD", "")</f>
        <v/>
      </c>
      <c r="D15" t="str">
        <f ca="1">IF(Head=D14, "HEAD", "")</f>
        <v/>
      </c>
      <c r="E15" t="str">
        <f ca="1">IF(Head=E14, "HEAD", "")</f>
        <v>HEAD</v>
      </c>
      <c r="F15" t="str">
        <f ca="1">IF(Head=F14, "HEAD", "")</f>
        <v/>
      </c>
      <c r="G15" t="str">
        <f ca="1">IF(Head=G14, "HEAD", "")</f>
        <v/>
      </c>
      <c r="H15" t="str">
        <f ca="1">IF(Head=H14, "HEAD", "")</f>
        <v/>
      </c>
      <c r="I15" t="str">
        <f ca="1">IF(Head=I14, "HEAD", "")</f>
        <v/>
      </c>
      <c r="J15" t="str">
        <f ca="1">IF(Head=J14, "HEAD", "")</f>
        <v/>
      </c>
      <c r="K15" t="str">
        <f ca="1">IF(Head=K14, "HEAD", "")</f>
        <v/>
      </c>
      <c r="L15" t="str">
        <f ca="1">IF(Head=L14, "HEAD", "")</f>
        <v/>
      </c>
      <c r="M15" t="str">
        <f ca="1">IF(Head=M14, "HEAD", "")</f>
        <v/>
      </c>
      <c r="N15" t="str">
        <f ca="1">IF(Head=N14, "HEAD", "")</f>
        <v/>
      </c>
      <c r="O15" t="str">
        <f ca="1">IF(Head=O14, "HEAD", "")</f>
        <v/>
      </c>
      <c r="P15" t="str">
        <f ca="1">IF(Head=P14, "HEAD", "")</f>
        <v/>
      </c>
      <c r="Q15" t="str">
        <f ca="1">IF(Head=Q14, "HEAD", "")</f>
        <v/>
      </c>
      <c r="R15" t="str">
        <f ca="1">IF(Head=R14, "HEAD", "")</f>
        <v/>
      </c>
      <c r="S15" t="str">
        <f ca="1">IF(Head=S14, "HEAD", "")</f>
        <v/>
      </c>
    </row>
    <row r="16" spans="1:19" x14ac:dyDescent="0.3">
      <c r="A16" t="s">
        <v>6</v>
      </c>
      <c r="B16" s="1" t="str">
        <f ca="1">IF(B15="HEAD", Write, B16)</f>
        <v>a</v>
      </c>
      <c r="C16" s="1" t="str">
        <f ca="1">IF(C15="HEAD", Write, C16)</f>
        <v>a</v>
      </c>
      <c r="D16" s="1" t="str">
        <f ca="1">IF(D15="HEAD", Write, D16)</f>
        <v>b</v>
      </c>
      <c r="E16" s="1" t="str">
        <f ca="1">IF(E15="HEAD", Write, E16)</f>
        <v>a</v>
      </c>
      <c r="F16" s="1" t="str">
        <f ca="1">IF(F15="HEAD", Write, F16)</f>
        <v>b</v>
      </c>
      <c r="G16" s="1" t="str">
        <f ca="1">IF(G15="HEAD", Write, G16)</f>
        <v>a</v>
      </c>
      <c r="H16" s="1" t="str">
        <f ca="1">IF(H15="HEAD", Write, H16)</f>
        <v>a</v>
      </c>
      <c r="I16" s="1" t="str">
        <f ca="1">IF(I15="HEAD", Write, I16)</f>
        <v>b</v>
      </c>
      <c r="J16" s="1" t="str">
        <f ca="1">IF(J15="HEAD", Write, J16)</f>
        <v>b</v>
      </c>
      <c r="K16" s="1" t="str">
        <f ca="1">IF(K15="HEAD", Write, K16)</f>
        <v>a</v>
      </c>
      <c r="L16" s="1" t="str">
        <f ca="1">IF(L15="HEAD", Write, L16)</f>
        <v>a</v>
      </c>
      <c r="M16" s="1" t="str">
        <f ca="1">IF(M15="HEAD", Write, M16)</f>
        <v>a</v>
      </c>
      <c r="N16" s="1" t="str">
        <f ca="1">IF(N15="HEAD", Write, N16)</f>
        <v>a</v>
      </c>
      <c r="O16" s="1" t="str">
        <f ca="1">IF(O15="HEAD", Write, O16)</f>
        <v>a</v>
      </c>
      <c r="P16" s="1" t="str">
        <f ca="1">IF(P15="HEAD", Write, P16)</f>
        <v>b</v>
      </c>
      <c r="Q16" s="1" t="str">
        <f ca="1">IF(Q15="HEAD", Write, Q16)</f>
        <v>a</v>
      </c>
      <c r="R16" s="1" t="str">
        <f ca="1">IF(R15="HEAD", Write, R16)</f>
        <v>b</v>
      </c>
      <c r="S16" s="1" t="str">
        <f ca="1">IF(S15="HEAD", Write, S16)</f>
        <v>a</v>
      </c>
    </row>
  </sheetData>
  <mergeCells count="2">
    <mergeCell ref="L3:Q5"/>
    <mergeCell ref="L6:Q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Sheet1</vt:lpstr>
      <vt:lpstr>Sheet2</vt:lpstr>
      <vt:lpstr>Sheet3</vt:lpstr>
      <vt:lpstr>Age</vt:lpstr>
      <vt:lpstr>Cotrol</vt:lpstr>
      <vt:lpstr>Head</vt:lpstr>
      <vt:lpstr>Read</vt:lpstr>
      <vt:lpstr>Tape</vt:lpstr>
      <vt:lpstr>test</vt:lpstr>
      <vt:lpstr>Write</vt:lpstr>
    </vt:vector>
  </TitlesOfParts>
  <Company>MTU - ITSS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jsstienn</dc:creator>
  <cp:lastModifiedBy>jsstienn</cp:lastModifiedBy>
  <dcterms:created xsi:type="dcterms:W3CDTF">2012-03-11T17:36:30Z</dcterms:created>
  <dcterms:modified xsi:type="dcterms:W3CDTF">2012-03-11T19:24:09Z</dcterms:modified>
</cp:coreProperties>
</file>